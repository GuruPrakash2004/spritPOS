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LEGION\Desktop\guru\"/>
    </mc:Choice>
  </mc:AlternateContent>
  <xr:revisionPtr revIDLastSave="0" documentId="8_{121C4BE9-5E55-4BCF-ACFE-5A15AF817C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P ITEM MASTE " sheetId="1" r:id="rId1"/>
    <sheet name="SubMasters" sheetId="2" r:id="rId2"/>
  </sheets>
  <definedNames>
    <definedName name="_xlnm._FilterDatabase" localSheetId="0" hidden="1">'LP ITEM MASTE '!$A$2:$S$3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<sst xmlns="http://schemas.openxmlformats.org/spreadsheetml/2006/main" count="141" uniqueCount="122">
  <si>
    <t>Will be highlighted if duplicated</t>
  </si>
  <si>
    <t>From Master</t>
  </si>
  <si>
    <t>From List</t>
  </si>
  <si>
    <t>Formula</t>
  </si>
  <si>
    <t>valid integer only</t>
  </si>
  <si>
    <t>valid numbers only</t>
  </si>
  <si>
    <t>valid % only</t>
  </si>
  <si>
    <t>Y / N only</t>
  </si>
  <si>
    <t>ITEMCODE</t>
  </si>
  <si>
    <t>ITEMNAME</t>
  </si>
  <si>
    <t>SHORTNAME</t>
  </si>
  <si>
    <t>ITEMGROUPCode</t>
  </si>
  <si>
    <t>LIQTYPE</t>
  </si>
  <si>
    <t>UOMCode</t>
  </si>
  <si>
    <t>PKGITEM</t>
  </si>
  <si>
    <t>PKGCode</t>
  </si>
  <si>
    <t>BOTPERCASES</t>
  </si>
  <si>
    <t>MRP</t>
  </si>
  <si>
    <t>PURRATE</t>
  </si>
  <si>
    <t>CGSTPER</t>
  </si>
  <si>
    <t>SGSTPER</t>
  </si>
  <si>
    <t>ROL</t>
  </si>
  <si>
    <t>ROQ</t>
  </si>
  <si>
    <t>MAXLEVEL</t>
  </si>
  <si>
    <t>MINLEVEL</t>
  </si>
  <si>
    <t>HSNCODE</t>
  </si>
  <si>
    <t>NONSTKABLE</t>
  </si>
  <si>
    <t>CESSPER</t>
  </si>
  <si>
    <t>COMPCESS</t>
  </si>
  <si>
    <t>BRANDCODE</t>
  </si>
  <si>
    <t>UOM Master</t>
  </si>
  <si>
    <t>Item Group Master</t>
  </si>
  <si>
    <t>Packaging Master</t>
  </si>
  <si>
    <t>Liquor Type Master</t>
  </si>
  <si>
    <t>Flags</t>
  </si>
  <si>
    <t>Nos</t>
  </si>
  <si>
    <t>-</t>
  </si>
  <si>
    <t>PKGCODE</t>
  </si>
  <si>
    <t>LTRPERBOT</t>
  </si>
  <si>
    <t>Beer</t>
  </si>
  <si>
    <t>Y</t>
  </si>
  <si>
    <t>Bottle</t>
  </si>
  <si>
    <t>Wine</t>
  </si>
  <si>
    <t>N</t>
  </si>
  <si>
    <t>QTY</t>
  </si>
  <si>
    <t>1 Ltr</t>
  </si>
  <si>
    <t>IML</t>
  </si>
  <si>
    <t>1.25 Ltr</t>
  </si>
  <si>
    <t>Others</t>
  </si>
  <si>
    <t>1800ML</t>
  </si>
  <si>
    <t>RUM</t>
  </si>
  <si>
    <t>180ML</t>
  </si>
  <si>
    <t>SOFT DRINKS</t>
  </si>
  <si>
    <t>2Lts</t>
  </si>
  <si>
    <t>BEVERAGES 14%</t>
  </si>
  <si>
    <t>2.25 Ltr</t>
  </si>
  <si>
    <t>BRANDY</t>
  </si>
  <si>
    <t>200ML</t>
  </si>
  <si>
    <t>WHISKY</t>
  </si>
  <si>
    <t>250ML</t>
  </si>
  <si>
    <t>CARRY BAGS</t>
  </si>
  <si>
    <t>275ML</t>
  </si>
  <si>
    <t>SHORT BITES 5%</t>
  </si>
  <si>
    <t>280ML</t>
  </si>
  <si>
    <t>30ML</t>
  </si>
  <si>
    <t>ITC</t>
  </si>
  <si>
    <t>300ML</t>
  </si>
  <si>
    <t>ACCESSORIES 14%</t>
  </si>
  <si>
    <t>330ML</t>
  </si>
  <si>
    <t>340ML</t>
  </si>
  <si>
    <t>CIGARS</t>
  </si>
  <si>
    <t>350ML</t>
  </si>
  <si>
    <t>BREEZER</t>
  </si>
  <si>
    <t>335ML</t>
  </si>
  <si>
    <t>GIN</t>
  </si>
  <si>
    <t>375ML</t>
  </si>
  <si>
    <t>4.5 Ltr</t>
  </si>
  <si>
    <t>400ML</t>
  </si>
  <si>
    <t>500ML</t>
  </si>
  <si>
    <t>50ML</t>
  </si>
  <si>
    <t>600ML</t>
  </si>
  <si>
    <t>60ML</t>
  </si>
  <si>
    <t>650ML</t>
  </si>
  <si>
    <t>700ML</t>
  </si>
  <si>
    <t>750ML</t>
  </si>
  <si>
    <t>7650ML</t>
  </si>
  <si>
    <t>90ML</t>
  </si>
  <si>
    <t>1000ML</t>
  </si>
  <si>
    <t>500 ML</t>
  </si>
  <si>
    <t>180 ML</t>
  </si>
  <si>
    <t>1 LT</t>
  </si>
  <si>
    <t>1.250ML</t>
  </si>
  <si>
    <t>100 ML</t>
  </si>
  <si>
    <t>1000 ML</t>
  </si>
  <si>
    <t>187ML</t>
  </si>
  <si>
    <t>1LT</t>
  </si>
  <si>
    <t>200 ML</t>
  </si>
  <si>
    <t>2000 ML</t>
  </si>
  <si>
    <t>20ML</t>
  </si>
  <si>
    <t>207ML</t>
  </si>
  <si>
    <t>250 ML</t>
  </si>
  <si>
    <t>275 ML</t>
  </si>
  <si>
    <t>300 ML</t>
  </si>
  <si>
    <t>700 ML</t>
  </si>
  <si>
    <t>240ML</t>
  </si>
  <si>
    <t>2000ML</t>
  </si>
  <si>
    <t>2LTS</t>
  </si>
  <si>
    <t>90 ML</t>
  </si>
  <si>
    <t>850ML</t>
  </si>
  <si>
    <t>840 ML</t>
  </si>
  <si>
    <t>750 ML</t>
  </si>
  <si>
    <t>650 ML</t>
  </si>
  <si>
    <t>6000ML</t>
  </si>
  <si>
    <t>60 ML</t>
  </si>
  <si>
    <t>50 ML</t>
  </si>
  <si>
    <t>4500ML</t>
  </si>
  <si>
    <t>40ML</t>
  </si>
  <si>
    <t>400 ML</t>
  </si>
  <si>
    <t>375 ML</t>
  </si>
  <si>
    <t>350 ML</t>
  </si>
  <si>
    <t>330 ML</t>
  </si>
  <si>
    <t>325ML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</si>
</sst>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8" x14ac:knownFonts="1">
    <font>
      <sz val="9"/>
      <name val="Microsoft Sans Serif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Microsoft Sans Serif"/>
      <family val="2"/>
    </font>
    <font>
      <b/>
      <sz val="9"/>
      <color rgb="FFFF0000"/>
      <name val="Microsoft Sans Serif"/>
      <family val="2"/>
    </font>
    <font>
      <sz val="9"/>
      <name val="Microsoft Sans Serif"/>
      <family val="2"/>
    </font>
    <font>
      <i/>
      <sz val="9"/>
      <name val="Microsoft Sans Serif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0">
    <xf numFmtId="0" fontId="0" fillId="0" borderId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5" applyNumberFormat="0" applyAlignment="0" applyProtection="0"/>
    <xf numFmtId="0" fontId="17" fillId="8" borderId="6" applyNumberFormat="0" applyAlignment="0" applyProtection="0"/>
    <xf numFmtId="0" fontId="18" fillId="8" borderId="5" applyNumberFormat="0" applyAlignment="0" applyProtection="0"/>
    <xf numFmtId="0" fontId="19" fillId="0" borderId="7" applyNumberFormat="0" applyFill="0" applyAlignment="0" applyProtection="0"/>
    <xf numFmtId="0" fontId="20" fillId="9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4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4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4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4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4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10" borderId="9" applyNumberFormat="0" applyFont="0" applyAlignment="0" applyProtection="0"/>
    <xf numFmtId="0" fontId="2" fillId="0" borderId="0"/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" fillId="10" borderId="9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4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4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4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4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4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4" fillId="34" borderId="0" applyNumberFormat="0" applyBorder="0" applyAlignment="0" applyProtection="0"/>
    <xf numFmtId="0" fontId="1" fillId="0" borderId="0"/>
    <xf numFmtId="0" fontId="1" fillId="10" borderId="9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41">
    <xf numFmtId="0" fontId="0" fillId="0" borderId="0" xfId="0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5" fillId="3" borderId="0" xfId="0" applyFont="1" applyFill="1"/>
    <xf numFmtId="0" fontId="5" fillId="0" borderId="1" xfId="0" applyFont="1" applyBorder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11" xfId="0" applyNumberFormat="1" applyBorder="1"/>
    <xf numFmtId="0" fontId="0" fillId="0" borderId="11" xfId="0" applyBorder="1"/>
    <xf numFmtId="0" fontId="5" fillId="3" borderId="1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13" xfId="0" applyBorder="1"/>
    <xf numFmtId="0" fontId="23" fillId="0" borderId="14" xfId="0" applyFont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0" fontId="2" fillId="0" borderId="0" xfId="44"/>
    <xf numFmtId="0" fontId="2" fillId="0" borderId="11" xfId="44" applyBorder="1"/>
    <xf numFmtId="0" fontId="23" fillId="0" borderId="14" xfId="44" applyFont="1" applyBorder="1" applyAlignment="1">
      <alignment horizontal="center"/>
    </xf>
    <xf numFmtId="0" fontId="0" fillId="35" borderId="1" xfId="0" applyFill="1" applyBorder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0" fillId="35" borderId="1" xfId="0" applyFill="1" applyBorder="1" applyAlignment="1">
      <alignment vertical="center"/>
    </xf>
    <xf numFmtId="2" fontId="0" fillId="0" borderId="1" xfId="0" applyNumberFormat="1" applyBorder="1"/>
    <xf numFmtId="2" fontId="3" fillId="0" borderId="1" xfId="42" applyNumberFormat="1" applyBorder="1" applyAlignment="1">
      <alignment horizontal="center"/>
    </xf>
    <xf numFmtId="2" fontId="0" fillId="35" borderId="1" xfId="0" applyNumberFormat="1" applyFill="1" applyBorder="1" applyAlignment="1">
      <alignment horizontal="left" vertical="center"/>
    </xf>
    <xf numFmtId="2" fontId="0" fillId="0" borderId="1" xfId="0" applyNumberFormat="1" applyBorder="1" applyAlignment="1">
      <alignment horizontal="center"/>
    </xf>
    <xf numFmtId="0" fontId="27" fillId="0" borderId="1" xfId="0" applyFont="1" applyBorder="1"/>
    <xf numFmtId="2" fontId="27" fillId="0" borderId="1" xfId="0" applyNumberFormat="1" applyFont="1" applyBorder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80">
    <cellStyle name="20% - Accent1" xfId="19" builtinId="30" customBuiltin="1"/>
    <cellStyle name="20% - Accent1 2" xfId="48" xr:uid="{00000000-0005-0000-0000-000001000000}"/>
    <cellStyle name="20% - Accent1 3" xfId="68" xr:uid="{00000000-0005-0000-0000-000002000000}"/>
    <cellStyle name="20% - Accent2" xfId="23" builtinId="34" customBuiltin="1"/>
    <cellStyle name="20% - Accent2 2" xfId="51" xr:uid="{00000000-0005-0000-0000-000004000000}"/>
    <cellStyle name="20% - Accent2 3" xfId="70" xr:uid="{00000000-0005-0000-0000-000005000000}"/>
    <cellStyle name="20% - Accent3" xfId="27" builtinId="38" customBuiltin="1"/>
    <cellStyle name="20% - Accent3 2" xfId="54" xr:uid="{00000000-0005-0000-0000-000007000000}"/>
    <cellStyle name="20% - Accent3 3" xfId="72" xr:uid="{00000000-0005-0000-0000-000008000000}"/>
    <cellStyle name="20% - Accent4" xfId="31" builtinId="42" customBuiltin="1"/>
    <cellStyle name="20% - Accent4 2" xfId="57" xr:uid="{00000000-0005-0000-0000-00000A000000}"/>
    <cellStyle name="20% - Accent4 3" xfId="74" xr:uid="{00000000-0005-0000-0000-00000B000000}"/>
    <cellStyle name="20% - Accent5" xfId="35" builtinId="46" customBuiltin="1"/>
    <cellStyle name="20% - Accent5 2" xfId="60" xr:uid="{00000000-0005-0000-0000-00000D000000}"/>
    <cellStyle name="20% - Accent5 3" xfId="76" xr:uid="{00000000-0005-0000-0000-00000E000000}"/>
    <cellStyle name="20% - Accent6" xfId="39" builtinId="50" customBuiltin="1"/>
    <cellStyle name="20% - Accent6 2" xfId="63" xr:uid="{00000000-0005-0000-0000-000010000000}"/>
    <cellStyle name="20% - Accent6 3" xfId="78" xr:uid="{00000000-0005-0000-0000-000011000000}"/>
    <cellStyle name="40% - Accent1" xfId="20" builtinId="31" customBuiltin="1"/>
    <cellStyle name="40% - Accent1 2" xfId="49" xr:uid="{00000000-0005-0000-0000-000013000000}"/>
    <cellStyle name="40% - Accent1 3" xfId="69" xr:uid="{00000000-0005-0000-0000-000014000000}"/>
    <cellStyle name="40% - Accent2" xfId="24" builtinId="35" customBuiltin="1"/>
    <cellStyle name="40% - Accent2 2" xfId="52" xr:uid="{00000000-0005-0000-0000-000016000000}"/>
    <cellStyle name="40% - Accent2 3" xfId="71" xr:uid="{00000000-0005-0000-0000-000017000000}"/>
    <cellStyle name="40% - Accent3" xfId="28" builtinId="39" customBuiltin="1"/>
    <cellStyle name="40% - Accent3 2" xfId="55" xr:uid="{00000000-0005-0000-0000-000019000000}"/>
    <cellStyle name="40% - Accent3 3" xfId="73" xr:uid="{00000000-0005-0000-0000-00001A000000}"/>
    <cellStyle name="40% - Accent4" xfId="32" builtinId="43" customBuiltin="1"/>
    <cellStyle name="40% - Accent4 2" xfId="58" xr:uid="{00000000-0005-0000-0000-00001C000000}"/>
    <cellStyle name="40% - Accent4 3" xfId="75" xr:uid="{00000000-0005-0000-0000-00001D000000}"/>
    <cellStyle name="40% - Accent5" xfId="36" builtinId="47" customBuiltin="1"/>
    <cellStyle name="40% - Accent5 2" xfId="61" xr:uid="{00000000-0005-0000-0000-00001F000000}"/>
    <cellStyle name="40% - Accent5 3" xfId="77" xr:uid="{00000000-0005-0000-0000-000020000000}"/>
    <cellStyle name="40% - Accent6" xfId="40" builtinId="51" customBuiltin="1"/>
    <cellStyle name="40% - Accent6 2" xfId="64" xr:uid="{00000000-0005-0000-0000-000022000000}"/>
    <cellStyle name="40% - Accent6 3" xfId="79" xr:uid="{00000000-0005-0000-0000-000023000000}"/>
    <cellStyle name="60% - Accent1" xfId="21" builtinId="32" customBuiltin="1"/>
    <cellStyle name="60% - Accent1 2" xfId="50" xr:uid="{00000000-0005-0000-0000-000025000000}"/>
    <cellStyle name="60% - Accent2" xfId="25" builtinId="36" customBuiltin="1"/>
    <cellStyle name="60% - Accent2 2" xfId="53" xr:uid="{00000000-0005-0000-0000-000027000000}"/>
    <cellStyle name="60% - Accent3" xfId="29" builtinId="40" customBuiltin="1"/>
    <cellStyle name="60% - Accent3 2" xfId="56" xr:uid="{00000000-0005-0000-0000-000029000000}"/>
    <cellStyle name="60% - Accent4" xfId="33" builtinId="44" customBuiltin="1"/>
    <cellStyle name="60% - Accent4 2" xfId="59" xr:uid="{00000000-0005-0000-0000-00002B000000}"/>
    <cellStyle name="60% - Accent5" xfId="37" builtinId="48" customBuiltin="1"/>
    <cellStyle name="60% - Accent5 2" xfId="62" xr:uid="{00000000-0005-0000-0000-00002D000000}"/>
    <cellStyle name="60% - Accent6" xfId="41" builtinId="52" customBuiltin="1"/>
    <cellStyle name="60% - Accent6 2" xfId="65" xr:uid="{00000000-0005-0000-0000-00002F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6" xr:uid="{00000000-0005-0000-0000-000042000000}"/>
    <cellStyle name="Normal" xfId="0" builtinId="0"/>
    <cellStyle name="Normal 2" xfId="1" xr:uid="{00000000-0005-0000-0000-000044000000}"/>
    <cellStyle name="Normal 3" xfId="42" xr:uid="{00000000-0005-0000-0000-000045000000}"/>
    <cellStyle name="Normal 4" xfId="44" xr:uid="{00000000-0005-0000-0000-000046000000}"/>
    <cellStyle name="Normal 5" xfId="66" xr:uid="{00000000-0005-0000-0000-000047000000}"/>
    <cellStyle name="Note 2" xfId="43" xr:uid="{00000000-0005-0000-0000-000048000000}"/>
    <cellStyle name="Note 3" xfId="47" xr:uid="{00000000-0005-0000-0000-000049000000}"/>
    <cellStyle name="Note 4" xfId="67" xr:uid="{00000000-0005-0000-0000-00004A000000}"/>
    <cellStyle name="Output" xfId="11" builtinId="21" customBuiltin="1"/>
    <cellStyle name="Title" xfId="2" builtinId="15" customBuiltin="1"/>
    <cellStyle name="Title 2" xfId="45" xr:uid="{00000000-0005-0000-0000-00004D000000}"/>
    <cellStyle name="Total" xfId="17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V45"/>
  <sheetViews>
    <sheetView tabSelected="1" defaultGridColor="0" colorId="8" workbookViewId="0">
      <pane xSplit="1" ySplit="2" topLeftCell="M3" activePane="bottomRight" state="frozen"/>
      <selection pane="topRight"/>
      <selection pane="bottomLeft"/>
      <selection pane="bottomRight" activeCell="T3" sqref="T3"/>
    </sheetView>
  </sheetViews>
  <sheetFormatPr defaultColWidth="9.125" defaultRowHeight="11.4" x14ac:dyDescent="0.2"/>
  <cols>
    <col min="1" max="1" width="15.625" style="37" customWidth="1"/>
    <col min="2" max="2" width="88" style="37" bestFit="1" customWidth="1"/>
    <col min="3" max="3" width="47.125" style="10" customWidth="1"/>
    <col min="4" max="4" width="32.125" style="10" customWidth="1"/>
    <col min="5" max="5" width="24.875" style="10" customWidth="1"/>
    <col min="6" max="6" width="16.375" style="10" customWidth="1"/>
    <col min="7" max="7" width="82.875" style="10" customWidth="1"/>
    <col min="8" max="8" width="29.75" style="10" customWidth="1"/>
    <col min="9" max="9" width="17.625" style="10" customWidth="1"/>
    <col min="10" max="10" width="8.75" style="36" customWidth="1"/>
    <col min="11" max="11" width="9.625" style="36" customWidth="1"/>
    <col min="12" max="12" width="11.125" style="10" customWidth="1"/>
    <col min="13" max="13" width="11" style="10" customWidth="1"/>
    <col min="14" max="16" width="16.25" style="10" customWidth="1"/>
    <col min="17" max="17" width="27.125" style="10" customWidth="1"/>
    <col min="18" max="18" width="22.125" style="10" customWidth="1"/>
    <col min="19" max="19" width="22.625" style="10" customWidth="1"/>
    <col min="20" max="20" width="11.875" style="10" customWidth="1"/>
    <col min="21" max="21" width="16.25" style="10" bestFit="1" customWidth="1"/>
    <col min="22" max="22" width="13.375" style="10" customWidth="1"/>
    <col min="23" max="16384" width="9.125" style="10"/>
  </cols>
  <sheetData>
    <row r="1" spans="1:22" s="9" customFormat="1" ht="16.95" customHeight="1" x14ac:dyDescent="0.2">
      <c r="A1" s="12" t="s">
        <v>0</v>
      </c>
      <c r="B1" s="12"/>
      <c r="C1" s="12" t="s">
        <v>0</v>
      </c>
      <c r="D1" s="11" t="s">
        <v>1</v>
      </c>
      <c r="E1" s="11" t="s">
        <v>2</v>
      </c>
      <c r="F1" s="11" t="s">
        <v>1</v>
      </c>
      <c r="G1" s="17" t="s">
        <v>3</v>
      </c>
      <c r="H1" s="18" t="s">
        <v>1</v>
      </c>
      <c r="I1" s="13" t="s">
        <v>4</v>
      </c>
      <c r="J1" s="26" t="s">
        <v>5</v>
      </c>
      <c r="K1" s="26" t="s">
        <v>5</v>
      </c>
      <c r="L1" s="13" t="s">
        <v>6</v>
      </c>
      <c r="M1" s="13" t="s">
        <v>6</v>
      </c>
      <c r="N1" s="13" t="s">
        <v>5</v>
      </c>
      <c r="O1" s="13" t="s">
        <v>5</v>
      </c>
      <c r="P1" s="13" t="s">
        <v>5</v>
      </c>
      <c r="Q1" s="13" t="s">
        <v>5</v>
      </c>
      <c r="R1" s="13"/>
      <c r="S1" s="13" t="s">
        <v>7</v>
      </c>
      <c r="T1" s="13" t="s">
        <v>5</v>
      </c>
      <c r="U1" s="13" t="s">
        <v>5</v>
      </c>
      <c r="V1" s="11" t="s">
        <v>1</v>
      </c>
    </row>
    <row r="2" spans="1:22" ht="15" customHeight="1" x14ac:dyDescent="0.2">
      <c r="A2" s="3" t="s">
        <v>8</v>
      </c>
      <c r="B2" s="3" t="s">
        <v>9</v>
      </c>
      <c r="C2" s="1" t="s">
        <v>10</v>
      </c>
      <c r="D2" s="2" t="s">
        <v>11</v>
      </c>
      <c r="E2" s="2" t="s">
        <v>12</v>
      </c>
      <c r="F2" s="2" t="s">
        <v>13</v>
      </c>
      <c r="G2" s="1" t="s">
        <v>14</v>
      </c>
      <c r="H2" s="1" t="s">
        <v>15</v>
      </c>
      <c r="I2" s="1" t="s">
        <v>16</v>
      </c>
      <c r="J2" s="27" t="s">
        <v>17</v>
      </c>
      <c r="K2" s="28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</row>
    <row r="3" spans="1:22" ht="14.4" x14ac:dyDescent="0.3">
      <c r="A3" s="34"/>
      <c r="B3" s="34"/>
      <c r="C3" s="34"/>
      <c r="D3" s="8"/>
      <c r="E3" s="8"/>
      <c r="F3" s="25"/>
      <c r="G3" s="34" t="str">
        <f>SUBSTITUTE(B3,H3,"")</f>
        <v/>
      </c>
      <c r="H3" s="8"/>
      <c r="I3" s="8"/>
      <c r="J3" s="35"/>
      <c r="K3" s="35"/>
      <c r="L3" s="29"/>
      <c r="M3" s="29"/>
      <c r="N3" s="30"/>
      <c r="O3" s="30"/>
      <c r="P3" s="31"/>
      <c r="Q3" s="30"/>
      <c r="R3" s="32"/>
      <c r="S3" s="31"/>
      <c r="T3" s="33"/>
      <c r="U3" s="33"/>
      <c r="V3" s="34"/>
    </row>
    <row r="4" spans="1:22" x14ac:dyDescent="0.2">
      <c r="A4" s="38"/>
      <c r="B4" s="38"/>
      <c r="C4" s="39"/>
      <c r="D4" s="39"/>
      <c r="E4" s="39"/>
      <c r="F4" s="39"/>
      <c r="G4" s="39"/>
      <c r="H4" s="39"/>
      <c r="I4" s="39"/>
      <c r="J4" s="33"/>
      <c r="K4" s="33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x14ac:dyDescent="0.2">
      <c r="A5" s="38"/>
      <c r="B5" s="38"/>
      <c r="C5" s="39"/>
      <c r="D5" s="39"/>
      <c r="E5" s="39"/>
      <c r="F5" s="39"/>
      <c r="G5" s="39"/>
      <c r="H5" s="39"/>
      <c r="I5" s="39"/>
      <c r="J5" s="33"/>
      <c r="K5" s="33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1:22" x14ac:dyDescent="0.2">
      <c r="A6" s="38"/>
      <c r="B6" s="38"/>
      <c r="C6" s="39"/>
      <c r="D6" s="39"/>
      <c r="E6" s="39"/>
      <c r="F6" s="39"/>
      <c r="G6" s="39"/>
      <c r="H6" s="39"/>
      <c r="I6" s="39"/>
      <c r="J6" s="33"/>
      <c r="K6" s="33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spans="1:22" x14ac:dyDescent="0.2">
      <c r="A7" s="38"/>
      <c r="B7" s="38"/>
      <c r="C7" s="39"/>
      <c r="D7" s="39"/>
      <c r="E7" s="39"/>
      <c r="F7" s="39"/>
      <c r="G7" s="39"/>
      <c r="H7" s="39"/>
      <c r="I7" s="39"/>
      <c r="J7" s="33"/>
      <c r="K7" s="33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spans="1:22" x14ac:dyDescent="0.2">
      <c r="A8" s="38"/>
      <c r="B8" s="38"/>
      <c r="C8" s="39"/>
      <c r="D8" s="39"/>
      <c r="E8" s="39"/>
      <c r="F8" s="39"/>
      <c r="G8" s="39"/>
      <c r="H8" s="39"/>
      <c r="I8" s="39"/>
      <c r="J8" s="33"/>
      <c r="K8" s="33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spans="1:22" x14ac:dyDescent="0.2">
      <c r="A9" s="38"/>
      <c r="B9" s="38"/>
      <c r="C9" s="39"/>
      <c r="D9" s="39"/>
      <c r="E9" s="39"/>
      <c r="F9" s="39"/>
      <c r="G9" s="39"/>
      <c r="H9" s="39"/>
      <c r="I9" s="39"/>
      <c r="J9" s="33"/>
      <c r="K9" s="33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spans="1:22" x14ac:dyDescent="0.2">
      <c r="A10" s="38"/>
      <c r="B10" s="38"/>
      <c r="C10" s="39"/>
      <c r="D10" s="39"/>
      <c r="E10" s="39"/>
      <c r="F10" s="39"/>
      <c r="G10" s="39"/>
      <c r="H10" s="39"/>
      <c r="I10" s="39"/>
      <c r="J10" s="33"/>
      <c r="K10" s="33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spans="1:22" x14ac:dyDescent="0.2">
      <c r="A11" s="38"/>
      <c r="B11" s="38"/>
      <c r="C11" s="39"/>
      <c r="D11" s="39"/>
      <c r="E11" s="39"/>
      <c r="F11" s="39"/>
      <c r="G11" s="39"/>
      <c r="H11" s="39"/>
      <c r="I11" s="39"/>
      <c r="J11" s="33"/>
      <c r="K11" s="33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spans="1:22" x14ac:dyDescent="0.2">
      <c r="A12" s="38"/>
      <c r="B12" s="38"/>
      <c r="C12" s="39"/>
      <c r="D12" s="39"/>
      <c r="E12" s="39"/>
      <c r="F12" s="39"/>
      <c r="G12" s="39"/>
      <c r="H12" s="39"/>
      <c r="I12" s="39"/>
      <c r="J12" s="33"/>
      <c r="K12" s="33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spans="1:22" x14ac:dyDescent="0.2">
      <c r="A13" s="38"/>
      <c r="B13" s="38"/>
      <c r="C13" s="39"/>
      <c r="D13" s="39"/>
      <c r="E13" s="39"/>
      <c r="F13" s="39"/>
      <c r="G13" s="39"/>
      <c r="H13" s="39"/>
      <c r="I13" s="39"/>
      <c r="J13" s="33"/>
      <c r="K13" s="33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spans="1:22" x14ac:dyDescent="0.2">
      <c r="A14" s="38"/>
      <c r="B14" s="38"/>
      <c r="C14" s="39"/>
      <c r="D14" s="39"/>
      <c r="E14" s="39"/>
      <c r="F14" s="39"/>
      <c r="G14" s="39"/>
      <c r="H14" s="39"/>
      <c r="I14" s="39"/>
      <c r="J14" s="33"/>
      <c r="K14" s="33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spans="1:22" x14ac:dyDescent="0.2">
      <c r="A15" s="38"/>
      <c r="B15" s="38"/>
      <c r="C15" s="39"/>
      <c r="D15" s="39"/>
      <c r="E15" s="39"/>
      <c r="F15" s="39"/>
      <c r="G15" s="39"/>
      <c r="H15" s="39"/>
      <c r="I15" s="39"/>
      <c r="J15" s="33"/>
      <c r="K15" s="33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spans="1:22" x14ac:dyDescent="0.2">
      <c r="A16" s="38"/>
      <c r="B16" s="38"/>
      <c r="C16" s="39"/>
      <c r="D16" s="39"/>
      <c r="E16" s="39"/>
      <c r="F16" s="39"/>
      <c r="G16" s="39"/>
      <c r="H16" s="39"/>
      <c r="I16" s="39"/>
      <c r="J16" s="33"/>
      <c r="K16" s="33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 spans="1:22" x14ac:dyDescent="0.2">
      <c r="A17" s="38"/>
      <c r="B17" s="38"/>
      <c r="C17" s="39"/>
      <c r="D17" s="39"/>
      <c r="E17" s="39"/>
      <c r="F17" s="39"/>
      <c r="G17" s="39"/>
      <c r="H17" s="39"/>
      <c r="I17" s="39"/>
      <c r="J17" s="33"/>
      <c r="K17" s="33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spans="1:22" x14ac:dyDescent="0.2">
      <c r="A18" s="38"/>
      <c r="B18" s="38"/>
      <c r="C18" s="39"/>
      <c r="D18" s="39"/>
      <c r="E18" s="39"/>
      <c r="F18" s="39"/>
      <c r="G18" s="39"/>
      <c r="H18" s="39"/>
      <c r="I18" s="39"/>
      <c r="J18" s="33"/>
      <c r="K18" s="33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spans="1:22" x14ac:dyDescent="0.2">
      <c r="A19" s="38"/>
      <c r="B19" s="38"/>
      <c r="C19" s="39"/>
      <c r="D19" s="39"/>
      <c r="E19" s="39"/>
      <c r="F19" s="39"/>
      <c r="G19" s="39"/>
      <c r="H19" s="39"/>
      <c r="I19" s="39"/>
      <c r="J19" s="33"/>
      <c r="K19" s="33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spans="1:22" x14ac:dyDescent="0.2">
      <c r="A20" s="38"/>
      <c r="B20" s="38"/>
      <c r="C20" s="39"/>
      <c r="D20" s="39"/>
      <c r="E20" s="39"/>
      <c r="F20" s="39"/>
      <c r="G20" s="39"/>
      <c r="H20" s="39"/>
      <c r="I20" s="39"/>
      <c r="J20" s="33"/>
      <c r="K20" s="33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spans="1:22" x14ac:dyDescent="0.2">
      <c r="A21" s="38"/>
      <c r="B21" s="38"/>
      <c r="C21" s="39"/>
      <c r="D21" s="39"/>
      <c r="E21" s="39"/>
      <c r="F21" s="39"/>
      <c r="G21" s="39"/>
      <c r="H21" s="39"/>
      <c r="I21" s="39"/>
      <c r="J21" s="33"/>
      <c r="K21" s="33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spans="1:22" x14ac:dyDescent="0.2">
      <c r="A22" s="38"/>
      <c r="B22" s="38"/>
      <c r="C22" s="39"/>
      <c r="D22" s="39"/>
      <c r="E22" s="39"/>
      <c r="F22" s="39"/>
      <c r="G22" s="39"/>
      <c r="H22" s="39"/>
      <c r="I22" s="39"/>
      <c r="J22" s="33"/>
      <c r="K22" s="33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spans="1:22" x14ac:dyDescent="0.2">
      <c r="A23" s="38"/>
      <c r="B23" s="38"/>
      <c r="C23" s="39"/>
      <c r="D23" s="39"/>
      <c r="E23" s="39"/>
      <c r="F23" s="39"/>
      <c r="G23" s="39"/>
      <c r="H23" s="39"/>
      <c r="I23" s="39"/>
      <c r="J23" s="33"/>
      <c r="K23" s="33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spans="1:22" x14ac:dyDescent="0.2">
      <c r="A24" s="38"/>
      <c r="B24" s="38"/>
      <c r="C24" s="39"/>
      <c r="D24" s="39"/>
      <c r="E24" s="39"/>
      <c r="F24" s="39"/>
      <c r="G24" s="39"/>
      <c r="H24" s="39"/>
      <c r="I24" s="39"/>
      <c r="J24" s="33"/>
      <c r="K24" s="33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spans="1:22" x14ac:dyDescent="0.2">
      <c r="A25" s="38"/>
      <c r="B25" s="38"/>
      <c r="C25" s="39"/>
      <c r="D25" s="39"/>
      <c r="E25" s="39"/>
      <c r="F25" s="39"/>
      <c r="G25" s="39"/>
      <c r="H25" s="39"/>
      <c r="I25" s="39"/>
      <c r="J25" s="33"/>
      <c r="K25" s="33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spans="1:22" x14ac:dyDescent="0.2">
      <c r="A26" s="38"/>
      <c r="B26" s="38"/>
      <c r="C26" s="39"/>
      <c r="D26" s="39"/>
      <c r="E26" s="39"/>
      <c r="F26" s="39"/>
      <c r="G26" s="39"/>
      <c r="H26" s="39"/>
      <c r="I26" s="39"/>
      <c r="J26" s="33"/>
      <c r="K26" s="33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spans="1:22" x14ac:dyDescent="0.2">
      <c r="A27" s="38"/>
      <c r="B27" s="38"/>
      <c r="C27" s="39"/>
      <c r="D27" s="39"/>
      <c r="E27" s="39"/>
      <c r="F27" s="39"/>
      <c r="G27" s="39"/>
      <c r="H27" s="39"/>
      <c r="I27" s="39"/>
      <c r="J27" s="33"/>
      <c r="K27" s="33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spans="1:22" x14ac:dyDescent="0.2">
      <c r="A28" s="38"/>
      <c r="B28" s="38"/>
      <c r="C28" s="39"/>
      <c r="D28" s="39"/>
      <c r="E28" s="39"/>
      <c r="F28" s="39"/>
      <c r="G28" s="39"/>
      <c r="H28" s="39"/>
      <c r="I28" s="39"/>
      <c r="J28" s="33"/>
      <c r="K28" s="3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x14ac:dyDescent="0.2">
      <c r="A29" s="38"/>
      <c r="B29" s="38"/>
      <c r="C29" s="39"/>
      <c r="D29" s="39"/>
      <c r="E29" s="39"/>
      <c r="F29" s="39"/>
      <c r="G29" s="39"/>
      <c r="H29" s="39"/>
      <c r="I29" s="39"/>
      <c r="J29" s="33"/>
      <c r="K29" s="33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spans="1:22" x14ac:dyDescent="0.2">
      <c r="A30" s="38"/>
      <c r="B30" s="38"/>
      <c r="C30" s="39"/>
      <c r="D30" s="39"/>
      <c r="E30" s="39"/>
      <c r="F30" s="39"/>
      <c r="G30" s="39"/>
      <c r="H30" s="39"/>
      <c r="I30" s="39"/>
      <c r="J30" s="33"/>
      <c r="K30" s="33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spans="1:22" x14ac:dyDescent="0.2">
      <c r="A31" s="38"/>
      <c r="B31" s="38"/>
      <c r="C31" s="39"/>
      <c r="D31" s="39"/>
      <c r="E31" s="39"/>
      <c r="F31" s="39"/>
      <c r="G31" s="39"/>
      <c r="H31" s="39"/>
      <c r="I31" s="39"/>
      <c r="J31" s="33"/>
      <c r="K31" s="33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spans="1:22" x14ac:dyDescent="0.2">
      <c r="A32" s="38"/>
      <c r="B32" s="38"/>
      <c r="C32" s="39"/>
      <c r="D32" s="39"/>
      <c r="E32" s="39"/>
      <c r="F32" s="39"/>
      <c r="G32" s="39"/>
      <c r="H32" s="39"/>
      <c r="I32" s="39"/>
      <c r="J32" s="33"/>
      <c r="K32" s="33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spans="1:22" x14ac:dyDescent="0.2">
      <c r="A33" s="38"/>
      <c r="B33" s="38"/>
      <c r="C33" s="39"/>
      <c r="D33" s="39"/>
      <c r="E33" s="39"/>
      <c r="F33" s="39"/>
      <c r="G33" s="39"/>
      <c r="H33" s="39"/>
      <c r="I33" s="39"/>
      <c r="J33" s="33"/>
      <c r="K33" s="33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spans="1:22" x14ac:dyDescent="0.2">
      <c r="A34" s="38"/>
      <c r="B34" s="38"/>
      <c r="C34" s="39"/>
      <c r="D34" s="39"/>
      <c r="E34" s="39"/>
      <c r="F34" s="39"/>
      <c r="G34" s="39"/>
      <c r="H34" s="39"/>
      <c r="I34" s="39"/>
      <c r="J34" s="33"/>
      <c r="K34" s="33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spans="1:22" x14ac:dyDescent="0.2">
      <c r="A35" s="38"/>
      <c r="B35" s="38"/>
      <c r="C35" s="39"/>
      <c r="D35" s="39"/>
      <c r="E35" s="39"/>
      <c r="F35" s="39"/>
      <c r="G35" s="39"/>
      <c r="H35" s="39"/>
      <c r="I35" s="39"/>
      <c r="J35" s="33"/>
      <c r="K35" s="33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spans="1:22" x14ac:dyDescent="0.2">
      <c r="A36" s="38"/>
      <c r="B36" s="38"/>
      <c r="C36" s="39"/>
      <c r="D36" s="39"/>
      <c r="E36" s="39"/>
      <c r="F36" s="39"/>
      <c r="G36" s="39"/>
      <c r="H36" s="39"/>
      <c r="I36" s="39"/>
      <c r="J36" s="33"/>
      <c r="K36" s="33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spans="1:22" x14ac:dyDescent="0.2">
      <c r="A37" s="38"/>
      <c r="B37" s="38"/>
      <c r="C37" s="39"/>
      <c r="D37" s="39"/>
      <c r="E37" s="39"/>
      <c r="F37" s="39"/>
      <c r="G37" s="39"/>
      <c r="H37" s="39"/>
      <c r="I37" s="39"/>
      <c r="J37" s="33"/>
      <c r="K37" s="3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spans="1:22" x14ac:dyDescent="0.2">
      <c r="A38" s="38"/>
      <c r="B38" s="38"/>
      <c r="C38" s="39"/>
      <c r="D38" s="39"/>
      <c r="E38" s="39"/>
      <c r="F38" s="39"/>
      <c r="G38" s="39"/>
      <c r="H38" s="39"/>
      <c r="I38" s="39"/>
      <c r="J38" s="33"/>
      <c r="K38" s="3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spans="1:22" x14ac:dyDescent="0.2">
      <c r="A39" s="38"/>
      <c r="B39" s="38"/>
      <c r="C39" s="39"/>
      <c r="D39" s="39"/>
      <c r="E39" s="39"/>
      <c r="F39" s="39"/>
      <c r="G39" s="39"/>
      <c r="H39" s="39"/>
      <c r="I39" s="39"/>
      <c r="J39" s="33"/>
      <c r="K39" s="33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spans="1:22" x14ac:dyDescent="0.2">
      <c r="A40" s="38"/>
      <c r="B40" s="38"/>
      <c r="C40" s="39"/>
      <c r="D40" s="39"/>
      <c r="E40" s="39"/>
      <c r="F40" s="39"/>
      <c r="G40" s="39"/>
      <c r="H40" s="39"/>
      <c r="I40" s="39"/>
      <c r="J40" s="33"/>
      <c r="K40" s="3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spans="1:22" x14ac:dyDescent="0.2">
      <c r="A41" s="38"/>
      <c r="B41" s="38"/>
      <c r="C41" s="39"/>
      <c r="D41" s="39"/>
      <c r="E41" s="39"/>
      <c r="F41" s="39"/>
      <c r="G41" s="39"/>
      <c r="H41" s="39"/>
      <c r="I41" s="39"/>
      <c r="J41" s="33"/>
      <c r="K41" s="3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spans="1:22" x14ac:dyDescent="0.2">
      <c r="A42" s="38"/>
      <c r="B42" s="38"/>
      <c r="C42" s="39"/>
      <c r="D42" s="39"/>
      <c r="E42" s="39"/>
      <c r="F42" s="39"/>
      <c r="G42" s="39"/>
      <c r="H42" s="39"/>
      <c r="I42" s="39"/>
      <c r="J42" s="33"/>
      <c r="K42" s="3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spans="1:22" x14ac:dyDescent="0.2">
      <c r="A43" s="38"/>
      <c r="B43" s="38"/>
      <c r="C43" s="39"/>
      <c r="D43" s="39"/>
      <c r="E43" s="39"/>
      <c r="F43" s="39"/>
      <c r="G43" s="39"/>
      <c r="H43" s="39"/>
      <c r="I43" s="39"/>
      <c r="J43" s="33"/>
      <c r="K43" s="3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spans="1:22" x14ac:dyDescent="0.2">
      <c r="A44" s="38"/>
      <c r="B44" s="38"/>
      <c r="C44" s="39"/>
      <c r="D44" s="39"/>
      <c r="E44" s="39"/>
      <c r="F44" s="39"/>
      <c r="G44" s="39"/>
      <c r="H44" s="39"/>
      <c r="I44" s="39"/>
      <c r="J44" s="33"/>
      <c r="K44" s="3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spans="1:22" x14ac:dyDescent="0.2">
      <c r="A45" s="38"/>
      <c r="B45" s="38"/>
      <c r="C45" s="39"/>
      <c r="D45" s="39"/>
      <c r="E45" s="39"/>
      <c r="F45" s="39"/>
      <c r="G45" s="39"/>
      <c r="H45" s="39"/>
      <c r="I45" s="39"/>
      <c r="J45" s="33"/>
      <c r="K45" s="3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</sheetData>
  <autoFilter ref="A2:S3" xr:uid="{00000000-0009-0000-0000-000000000000}"/>
  <sortState xmlns:xlrd2="http://schemas.microsoft.com/office/spreadsheetml/2017/richdata2" ref="A3:S5701">
    <sortCondition ref="H1"/>
  </sortState>
  <conditionalFormatting sqref="A3">
    <cfRule type="duplicateValues" dxfId="0" priority="10"/>
  </conditionalFormatting>
  <dataValidations count="3">
    <dataValidation type="decimal" allowBlank="1" showInputMessage="1" showErrorMessage="1" errorTitle="Not Valid" error="Should be a number between 1 and 1 lakh" sqref="N3:Q3 J3:K3" xr:uid="{00000000-0002-0000-0000-000000000000}">
      <formula1>1</formula1>
      <formula2>100000</formula2>
    </dataValidation>
    <dataValidation type="decimal" allowBlank="1" showInputMessage="1" showErrorMessage="1" errorTitle="Invalid %" error="Should be between 1 and 100" sqref="L3:M3" xr:uid="{00000000-0002-0000-0000-000001000000}">
      <formula1>1</formula1>
      <formula2>100</formula2>
    </dataValidation>
    <dataValidation type="whole" allowBlank="1" showInputMessage="1" showErrorMessage="1" sqref="I3" xr:uid="{00000000-0002-0000-0000-000002000000}">
      <formula1>1</formula1>
      <formula2>500</formula2>
    </dataValidation>
  </dataValidations>
  <printOptions gridLines="1"/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1"/>
  <sheetViews>
    <sheetView showGridLines="0" topLeftCell="A4" workbookViewId="0">
      <selection activeCell="I31" sqref="I31"/>
    </sheetView>
  </sheetViews>
  <sheetFormatPr defaultRowHeight="11.4" x14ac:dyDescent="0.2"/>
  <cols>
    <col min="2" max="2" width="18" customWidth="1"/>
    <col min="4" max="4" width="20.125" customWidth="1"/>
    <col min="6" max="6" width="14.375" customWidth="1"/>
    <col min="7" max="7" width="12.375" customWidth="1"/>
    <col min="9" max="9" width="18.125" customWidth="1"/>
  </cols>
  <sheetData>
    <row r="2" spans="2:12" x14ac:dyDescent="0.2">
      <c r="B2" s="5" t="s">
        <v>30</v>
      </c>
      <c r="D2" s="5" t="s">
        <v>31</v>
      </c>
      <c r="F2" s="40" t="s">
        <v>32</v>
      </c>
      <c r="G2" s="40"/>
      <c r="I2" s="5" t="s">
        <v>33</v>
      </c>
      <c r="L2" s="4" t="s">
        <v>34</v>
      </c>
    </row>
    <row r="3" spans="2:12" x14ac:dyDescent="0.2">
      <c r="B3" s="8" t="s">
        <v>35</v>
      </c>
      <c r="C3" s="4"/>
      <c r="D3" s="8" t="s">
        <v>36</v>
      </c>
      <c r="F3" s="6" t="s">
        <v>37</v>
      </c>
      <c r="G3" s="6" t="s">
        <v>38</v>
      </c>
      <c r="I3" s="8" t="s">
        <v>39</v>
      </c>
      <c r="L3" s="4" t="s">
        <v>40</v>
      </c>
    </row>
    <row r="4" spans="2:12" x14ac:dyDescent="0.2">
      <c r="B4" s="8" t="s">
        <v>41</v>
      </c>
      <c r="D4" s="7">
        <v>1</v>
      </c>
      <c r="F4" s="7" t="s">
        <v>36</v>
      </c>
      <c r="G4" s="7">
        <v>0</v>
      </c>
      <c r="I4" s="8" t="s">
        <v>42</v>
      </c>
      <c r="L4" s="4" t="s">
        <v>43</v>
      </c>
    </row>
    <row r="5" spans="2:12" x14ac:dyDescent="0.2">
      <c r="B5" s="8" t="s">
        <v>44</v>
      </c>
      <c r="D5" s="7">
        <v>2</v>
      </c>
      <c r="F5" s="8" t="s">
        <v>45</v>
      </c>
      <c r="G5" s="7">
        <v>1</v>
      </c>
      <c r="I5" s="8" t="s">
        <v>46</v>
      </c>
    </row>
    <row r="6" spans="2:12" x14ac:dyDescent="0.2">
      <c r="B6" s="7"/>
      <c r="D6" s="7">
        <v>3</v>
      </c>
      <c r="F6" s="8" t="s">
        <v>47</v>
      </c>
      <c r="G6" s="7">
        <v>1.25</v>
      </c>
      <c r="I6" s="8" t="s">
        <v>48</v>
      </c>
    </row>
    <row r="7" spans="2:12" x14ac:dyDescent="0.2">
      <c r="B7" s="7"/>
      <c r="D7" s="7">
        <v>4</v>
      </c>
      <c r="F7" s="8" t="s">
        <v>49</v>
      </c>
      <c r="G7" s="7">
        <v>18</v>
      </c>
      <c r="I7" s="7" t="s">
        <v>50</v>
      </c>
    </row>
    <row r="8" spans="2:12" x14ac:dyDescent="0.2">
      <c r="B8" s="7"/>
      <c r="D8" s="7">
        <v>5</v>
      </c>
      <c r="F8" s="8" t="s">
        <v>51</v>
      </c>
      <c r="G8" s="7">
        <v>0.18</v>
      </c>
      <c r="I8" s="7" t="s">
        <v>52</v>
      </c>
    </row>
    <row r="9" spans="2:12" x14ac:dyDescent="0.2">
      <c r="B9" s="7"/>
      <c r="D9" s="7">
        <v>6</v>
      </c>
      <c r="F9" s="8" t="s">
        <v>53</v>
      </c>
      <c r="G9" s="7">
        <v>2</v>
      </c>
      <c r="I9" s="7" t="s">
        <v>54</v>
      </c>
    </row>
    <row r="10" spans="2:12" x14ac:dyDescent="0.2">
      <c r="B10" s="7"/>
      <c r="D10" s="7">
        <v>7</v>
      </c>
      <c r="F10" s="8" t="s">
        <v>55</v>
      </c>
      <c r="G10" s="7">
        <v>2.25</v>
      </c>
      <c r="I10" s="7" t="s">
        <v>56</v>
      </c>
    </row>
    <row r="11" spans="2:12" x14ac:dyDescent="0.2">
      <c r="B11" s="7"/>
      <c r="D11" s="7">
        <v>8</v>
      </c>
      <c r="F11" s="8" t="s">
        <v>57</v>
      </c>
      <c r="G11" s="7">
        <v>0.2</v>
      </c>
      <c r="I11" s="7" t="s">
        <v>58</v>
      </c>
    </row>
    <row r="12" spans="2:12" x14ac:dyDescent="0.2">
      <c r="B12" s="7"/>
      <c r="D12" s="7">
        <v>9</v>
      </c>
      <c r="F12" s="8" t="s">
        <v>59</v>
      </c>
      <c r="G12" s="7">
        <v>0.25</v>
      </c>
      <c r="I12" s="7" t="s">
        <v>60</v>
      </c>
    </row>
    <row r="13" spans="2:12" x14ac:dyDescent="0.2">
      <c r="B13" s="7"/>
      <c r="D13" s="7">
        <v>10</v>
      </c>
      <c r="F13" s="8" t="s">
        <v>61</v>
      </c>
      <c r="G13" s="7">
        <v>0.27500000000000002</v>
      </c>
      <c r="I13" s="7" t="s">
        <v>62</v>
      </c>
    </row>
    <row r="14" spans="2:12" x14ac:dyDescent="0.2">
      <c r="B14" s="7"/>
      <c r="D14" s="7">
        <v>11</v>
      </c>
      <c r="F14" s="8" t="s">
        <v>63</v>
      </c>
      <c r="G14" s="7">
        <v>0.28000000000000003</v>
      </c>
      <c r="I14" s="7" t="s">
        <v>62</v>
      </c>
    </row>
    <row r="15" spans="2:12" x14ac:dyDescent="0.2">
      <c r="B15" s="7"/>
      <c r="D15" s="7">
        <v>12</v>
      </c>
      <c r="F15" s="8" t="s">
        <v>64</v>
      </c>
      <c r="G15" s="7">
        <v>0.03</v>
      </c>
      <c r="I15" s="7" t="s">
        <v>65</v>
      </c>
    </row>
    <row r="16" spans="2:12" x14ac:dyDescent="0.2">
      <c r="B16" s="7"/>
      <c r="D16" s="7">
        <v>13</v>
      </c>
      <c r="F16" s="8" t="s">
        <v>66</v>
      </c>
      <c r="G16" s="7">
        <v>0.3</v>
      </c>
      <c r="I16" s="7" t="s">
        <v>67</v>
      </c>
    </row>
    <row r="17" spans="2:9" x14ac:dyDescent="0.2">
      <c r="B17" s="7"/>
      <c r="D17" s="7">
        <v>14</v>
      </c>
      <c r="F17" s="8" t="s">
        <v>68</v>
      </c>
      <c r="G17" s="7">
        <v>0.33</v>
      </c>
      <c r="I17" s="7" t="s">
        <v>50</v>
      </c>
    </row>
    <row r="18" spans="2:9" x14ac:dyDescent="0.2">
      <c r="B18" s="7"/>
      <c r="D18" s="7">
        <v>15</v>
      </c>
      <c r="F18" s="8" t="s">
        <v>69</v>
      </c>
      <c r="G18" s="7">
        <v>0.34</v>
      </c>
      <c r="I18" s="7" t="s">
        <v>70</v>
      </c>
    </row>
    <row r="19" spans="2:9" x14ac:dyDescent="0.2">
      <c r="B19" s="7"/>
      <c r="D19" s="7">
        <v>16</v>
      </c>
      <c r="F19" s="8" t="s">
        <v>71</v>
      </c>
      <c r="G19" s="7">
        <v>0.35</v>
      </c>
      <c r="I19" s="7" t="s">
        <v>72</v>
      </c>
    </row>
    <row r="20" spans="2:9" x14ac:dyDescent="0.2">
      <c r="B20" s="7"/>
      <c r="D20" s="7">
        <v>17</v>
      </c>
      <c r="F20" s="8" t="s">
        <v>73</v>
      </c>
      <c r="G20" s="7">
        <v>0.33500000000000002</v>
      </c>
      <c r="I20" s="7" t="s">
        <v>74</v>
      </c>
    </row>
    <row r="21" spans="2:9" x14ac:dyDescent="0.2">
      <c r="B21" s="7"/>
      <c r="D21" s="7">
        <v>18</v>
      </c>
      <c r="F21" s="8" t="s">
        <v>75</v>
      </c>
      <c r="G21" s="7">
        <v>0.375</v>
      </c>
    </row>
    <row r="22" spans="2:9" x14ac:dyDescent="0.2">
      <c r="B22" s="7"/>
      <c r="D22" s="7">
        <v>19</v>
      </c>
      <c r="F22" s="8" t="s">
        <v>76</v>
      </c>
      <c r="G22" s="7">
        <v>4.5</v>
      </c>
    </row>
    <row r="23" spans="2:9" x14ac:dyDescent="0.2">
      <c r="B23" s="7"/>
      <c r="D23" s="7"/>
      <c r="F23" s="8" t="s">
        <v>77</v>
      </c>
      <c r="G23" s="7">
        <v>0.4</v>
      </c>
    </row>
    <row r="24" spans="2:9" x14ac:dyDescent="0.2">
      <c r="B24" s="7"/>
      <c r="D24" s="7"/>
      <c r="F24" s="8" t="s">
        <v>78</v>
      </c>
      <c r="G24" s="7">
        <v>0.5</v>
      </c>
    </row>
    <row r="25" spans="2:9" x14ac:dyDescent="0.2">
      <c r="B25" s="7"/>
      <c r="D25" s="7"/>
      <c r="F25" s="8" t="s">
        <v>79</v>
      </c>
      <c r="G25" s="7">
        <v>0.05</v>
      </c>
    </row>
    <row r="26" spans="2:9" x14ac:dyDescent="0.2">
      <c r="B26" s="7"/>
      <c r="D26" s="7"/>
      <c r="F26" s="8" t="s">
        <v>80</v>
      </c>
      <c r="G26" s="7">
        <v>0.6</v>
      </c>
    </row>
    <row r="27" spans="2:9" x14ac:dyDescent="0.2">
      <c r="B27" s="7"/>
      <c r="D27" s="7"/>
      <c r="F27" s="8" t="s">
        <v>81</v>
      </c>
      <c r="G27" s="7">
        <v>0.06</v>
      </c>
    </row>
    <row r="28" spans="2:9" x14ac:dyDescent="0.2">
      <c r="B28" s="7"/>
      <c r="D28" s="7"/>
      <c r="F28" s="8" t="s">
        <v>82</v>
      </c>
      <c r="G28" s="7">
        <v>0.65</v>
      </c>
    </row>
    <row r="29" spans="2:9" x14ac:dyDescent="0.2">
      <c r="B29" s="7"/>
      <c r="D29" s="7"/>
      <c r="F29" s="8" t="s">
        <v>83</v>
      </c>
      <c r="G29" s="7">
        <v>0.7</v>
      </c>
    </row>
    <row r="30" spans="2:9" x14ac:dyDescent="0.2">
      <c r="B30" s="7"/>
      <c r="D30" s="7"/>
      <c r="F30" s="8" t="s">
        <v>84</v>
      </c>
      <c r="G30" s="7">
        <v>0.75</v>
      </c>
    </row>
    <row r="31" spans="2:9" x14ac:dyDescent="0.2">
      <c r="B31" s="7"/>
      <c r="D31" s="7"/>
      <c r="F31" s="8" t="s">
        <v>85</v>
      </c>
      <c r="G31" s="7">
        <v>7.65</v>
      </c>
    </row>
    <row r="32" spans="2:9" x14ac:dyDescent="0.2">
      <c r="B32" s="7"/>
      <c r="D32" s="7"/>
      <c r="F32" s="8" t="s">
        <v>86</v>
      </c>
      <c r="G32" s="7">
        <v>0.09</v>
      </c>
    </row>
    <row r="33" spans="6:7" x14ac:dyDescent="0.2">
      <c r="F33" s="8" t="s">
        <v>87</v>
      </c>
      <c r="G33" s="7">
        <v>1</v>
      </c>
    </row>
    <row r="34" spans="6:7" x14ac:dyDescent="0.2">
      <c r="F34" s="8" t="s">
        <v>88</v>
      </c>
      <c r="G34" s="7">
        <v>0.5</v>
      </c>
    </row>
    <row r="35" spans="6:7" x14ac:dyDescent="0.2">
      <c r="F35" s="8" t="s">
        <v>89</v>
      </c>
      <c r="G35" s="7">
        <v>0.18</v>
      </c>
    </row>
    <row r="36" spans="6:7" x14ac:dyDescent="0.2">
      <c r="F36" s="7" t="s">
        <v>90</v>
      </c>
      <c r="G36" s="7">
        <v>1</v>
      </c>
    </row>
    <row r="37" spans="6:7" x14ac:dyDescent="0.2">
      <c r="F37" s="7" t="s">
        <v>91</v>
      </c>
      <c r="G37" s="7">
        <v>1.25</v>
      </c>
    </row>
    <row r="38" spans="6:7" x14ac:dyDescent="0.2">
      <c r="F38" s="7" t="s">
        <v>92</v>
      </c>
      <c r="G38" s="7">
        <v>0.1</v>
      </c>
    </row>
    <row r="39" spans="6:7" x14ac:dyDescent="0.2">
      <c r="F39" s="7" t="s">
        <v>93</v>
      </c>
      <c r="G39" s="7">
        <v>1</v>
      </c>
    </row>
    <row r="40" spans="6:7" x14ac:dyDescent="0.2">
      <c r="F40" s="7" t="s">
        <v>87</v>
      </c>
      <c r="G40" s="7">
        <v>1</v>
      </c>
    </row>
    <row r="41" spans="6:7" x14ac:dyDescent="0.2">
      <c r="F41" s="7" t="s">
        <v>94</v>
      </c>
      <c r="G41" s="7">
        <v>0.187</v>
      </c>
    </row>
    <row r="42" spans="6:7" x14ac:dyDescent="0.2">
      <c r="F42" s="7" t="s">
        <v>95</v>
      </c>
      <c r="G42" s="7">
        <v>1</v>
      </c>
    </row>
    <row r="43" spans="6:7" x14ac:dyDescent="0.2">
      <c r="F43" s="7" t="s">
        <v>96</v>
      </c>
      <c r="G43" s="7">
        <v>0.2</v>
      </c>
    </row>
    <row r="44" spans="6:7" x14ac:dyDescent="0.2">
      <c r="F44" s="7" t="s">
        <v>97</v>
      </c>
      <c r="G44" s="7">
        <v>2</v>
      </c>
    </row>
    <row r="45" spans="6:7" x14ac:dyDescent="0.2">
      <c r="F45" s="7" t="s">
        <v>98</v>
      </c>
      <c r="G45" s="7">
        <v>0.02</v>
      </c>
    </row>
    <row r="46" spans="6:7" x14ac:dyDescent="0.2">
      <c r="F46" s="7" t="s">
        <v>99</v>
      </c>
      <c r="G46" s="7">
        <v>0.20699999999999999</v>
      </c>
    </row>
    <row r="47" spans="6:7" x14ac:dyDescent="0.2">
      <c r="F47" s="7" t="s">
        <v>100</v>
      </c>
      <c r="G47" s="7">
        <v>0.25</v>
      </c>
    </row>
    <row r="48" spans="6:7" x14ac:dyDescent="0.2">
      <c r="F48" s="7" t="s">
        <v>101</v>
      </c>
      <c r="G48" s="7">
        <v>0.27500000000000002</v>
      </c>
    </row>
    <row r="49" spans="6:7" x14ac:dyDescent="0.2">
      <c r="F49" s="7" t="s">
        <v>102</v>
      </c>
      <c r="G49" s="7">
        <v>0.3</v>
      </c>
    </row>
    <row r="50" spans="6:7" x14ac:dyDescent="0.2">
      <c r="F50" s="7" t="s">
        <v>103</v>
      </c>
      <c r="G50" s="7">
        <v>0.7</v>
      </c>
    </row>
    <row r="51" spans="6:7" x14ac:dyDescent="0.2">
      <c r="F51" s="7" t="s">
        <v>104</v>
      </c>
      <c r="G51" s="7">
        <v>0.24</v>
      </c>
    </row>
    <row r="52" spans="6:7" x14ac:dyDescent="0.2">
      <c r="F52" s="7" t="s">
        <v>105</v>
      </c>
      <c r="G52" s="7">
        <v>2</v>
      </c>
    </row>
    <row r="53" spans="6:7" x14ac:dyDescent="0.2">
      <c r="F53" s="7" t="s">
        <v>106</v>
      </c>
      <c r="G53" s="7">
        <v>2</v>
      </c>
    </row>
    <row r="54" spans="6:7" x14ac:dyDescent="0.2">
      <c r="F54" s="7" t="s">
        <v>107</v>
      </c>
      <c r="G54" s="7">
        <v>0.09</v>
      </c>
    </row>
    <row r="55" spans="6:7" x14ac:dyDescent="0.2">
      <c r="F55" s="7" t="s">
        <v>108</v>
      </c>
      <c r="G55" s="7">
        <v>0.85</v>
      </c>
    </row>
    <row r="56" spans="6:7" x14ac:dyDescent="0.2">
      <c r="F56" s="7" t="s">
        <v>109</v>
      </c>
      <c r="G56" s="7">
        <v>0.84</v>
      </c>
    </row>
    <row r="57" spans="6:7" x14ac:dyDescent="0.2">
      <c r="F57" s="7" t="s">
        <v>110</v>
      </c>
      <c r="G57" s="7">
        <v>0.75</v>
      </c>
    </row>
    <row r="58" spans="6:7" x14ac:dyDescent="0.2">
      <c r="F58" s="7" t="s">
        <v>103</v>
      </c>
      <c r="G58" s="7">
        <v>0.7</v>
      </c>
    </row>
    <row r="59" spans="6:7" x14ac:dyDescent="0.2">
      <c r="F59" s="7" t="s">
        <v>111</v>
      </c>
      <c r="G59" s="7">
        <v>0.65</v>
      </c>
    </row>
    <row r="60" spans="6:7" x14ac:dyDescent="0.2">
      <c r="F60" s="7" t="s">
        <v>112</v>
      </c>
      <c r="G60" s="7">
        <v>6</v>
      </c>
    </row>
    <row r="61" spans="6:7" x14ac:dyDescent="0.2">
      <c r="F61" s="7" t="s">
        <v>113</v>
      </c>
      <c r="G61" s="7">
        <v>0.06</v>
      </c>
    </row>
    <row r="62" spans="6:7" x14ac:dyDescent="0.2">
      <c r="F62" s="7" t="s">
        <v>88</v>
      </c>
      <c r="G62" s="7">
        <v>0.5</v>
      </c>
    </row>
    <row r="63" spans="6:7" x14ac:dyDescent="0.2">
      <c r="F63" s="7" t="s">
        <v>114</v>
      </c>
      <c r="G63" s="7">
        <v>0.05</v>
      </c>
    </row>
    <row r="64" spans="6:7" x14ac:dyDescent="0.2">
      <c r="F64" s="7" t="s">
        <v>115</v>
      </c>
      <c r="G64" s="7">
        <v>4.5</v>
      </c>
    </row>
    <row r="65" spans="6:7" x14ac:dyDescent="0.2">
      <c r="F65" s="7" t="s">
        <v>116</v>
      </c>
      <c r="G65" s="7">
        <v>0.04</v>
      </c>
    </row>
    <row r="66" spans="6:7" x14ac:dyDescent="0.2">
      <c r="F66" s="7" t="s">
        <v>117</v>
      </c>
      <c r="G66" s="7">
        <v>0.4</v>
      </c>
    </row>
    <row r="67" spans="6:7" x14ac:dyDescent="0.2">
      <c r="F67" s="7" t="s">
        <v>118</v>
      </c>
      <c r="G67" s="7">
        <v>0.375</v>
      </c>
    </row>
    <row r="68" spans="6:7" x14ac:dyDescent="0.2">
      <c r="F68" s="7" t="s">
        <v>119</v>
      </c>
      <c r="G68" s="7">
        <v>0.35</v>
      </c>
    </row>
    <row r="69" spans="6:7" x14ac:dyDescent="0.2">
      <c r="F69" s="7" t="s">
        <v>120</v>
      </c>
      <c r="G69" s="7">
        <v>0.33</v>
      </c>
    </row>
    <row r="70" spans="6:7" x14ac:dyDescent="0.2">
      <c r="F70" s="7" t="s">
        <v>98</v>
      </c>
      <c r="G70" s="7">
        <v>0.02</v>
      </c>
    </row>
    <row r="71" spans="6:7" x14ac:dyDescent="0.2">
      <c r="F71" t="s">
        <v>121</v>
      </c>
      <c r="G71" s="19">
        <v>0.32500000000000001</v>
      </c>
    </row>
  </sheetData>
  <sortState xmlns:xlrd2="http://schemas.microsoft.com/office/spreadsheetml/2017/richdata2" ref="F5:G32">
    <sortCondition ref="F4"/>
  </sortState>
  <mergeCells count="1"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 ITEM MASTE </vt:lpstr>
      <vt:lpstr>SubMasters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a25671</cp:lastModifiedBy>
  <cp:lastPrinted>2019-12-24T05:45:42Z</cp:lastPrinted>
  <dcterms:created xsi:type="dcterms:W3CDTF">2019-12-14T15:58:22Z</dcterms:created>
  <dcterms:modified xsi:type="dcterms:W3CDTF">2026-10-12T05:03:31Z</dcterms:modified>
</cp:coreProperties>
</file>